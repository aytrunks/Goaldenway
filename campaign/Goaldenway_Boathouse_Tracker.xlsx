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Hook Bank" sheetId="2" state="visible" r:id="rId4"/>
    <sheet name="Daily Log" sheetId="3" state="visible" r:id="rId5"/>
    <sheet name="Format Comparison" sheetId="4" state="visible" r:id="rId6"/>
    <sheet name="Boss Presentation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<sst xmlns="http://schemas.openxmlformats.org/spreadsheetml/2006/main" count="138" uniqueCount="106">
  <si>
    <t xml:space="preserve">Goaldenway x The Boat House — 30-Day IG Campaign Tracker</t>
  </si>
  <si>
    <t xml:space="preserve">Purpose</t>
  </si>
  <si>
    <t xml:space="preserve">Operational tracker for the 7-day hook/format test (boss on vacation) that rolls into the 30-day Instagram campaign for The Boat House, Cape Coral. Fill in the yellow/blue cells daily; everything else is a formula that updates itself.</t>
  </si>
  <si>
    <t xml:space="preserve">How to use this workbook</t>
  </si>
  <si>
    <t xml:space="preserve">1. Before posting: on the 'Daily Log' tab, confirm the day's Format and Hook ID (Days 1-3 are pre-set from the brief; Days 4-30 are yours to fill as you rotate/pivot).</t>
  </si>
  <si>
    <t xml:space="preserve">2. Write the caption using CAPTIONS.md / CONTENT_CALENDAR.md (hook + service line + CTA) and post at the planned time.</t>
  </si>
  <si>
    <t xml:space="preserve">3. 24 hours later: fill in Views, Watch Time %, Drop-off %, Likes, Saves, Shares, DMs, Comments, DM response time, and screenshot the Insights screen (per the brief's checklist).</t>
  </si>
  <si>
    <t xml:space="preserve">4. The 'Hook Bank' tab auto-aggregates performance per hook. The 'Format Comparison' tab auto-aggregates performance per format (A/B/C).</t>
  </si>
  <si>
    <t xml:space="preserve">5. On Day 6-7, check 'Format Comparison' and 'Hook Bank' to decide the Day 7 repeat post and the Week 2+ plan.</t>
  </si>
  <si>
    <t xml:space="preserve">6. When your boss is back, open 'Boss Presentation Summary' — it pulls the real numbers into the pitch template from the brief.</t>
  </si>
  <si>
    <t xml:space="preserve">Legend</t>
  </si>
  <si>
    <t xml:space="preserve">Yellow fill: Cell you fill in after checking Instagram Insights (real performance data).</t>
  </si>
  <si>
    <t xml:space="preserve">Blue text: Planned/default value from the brief — edit freely as you pivot day to day.</t>
  </si>
  <si>
    <t xml:space="preserve">Black text: Formula — don't type over these, they recalculate automatically.</t>
  </si>
  <si>
    <t xml:space="preserve">Assumptions made building this tracker (edit if wrong)</t>
  </si>
  <si>
    <t xml:space="preserve">- The brief has one internal inconsistency: 'Frequency: 3 posts per day' (line 35) vs. the detailed 7-day template which posts ONE format per day, rotating A/B/C (lines 66-74), alternating 6PM/10AM to test time-of-day. This tracker follows the detailed day-by-day template (1 post/day) since it's the unambiguous, specific spec. If you actually meant 3 posts/day, say so and the Daily Log grain needs to change (one row per post, not per day).</t>
  </si>
  <si>
    <t xml:space="preserve">- Day 1 date is set to today, 2026-08-05 (all other dates auto-follow from it — change cell B2 on 'Daily Log' and the rest of the calendar shifts automatically).</t>
  </si>
  <si>
    <t xml:space="preserve">- 'Strongest performer' for Day 7 (brief's own instruction) is measured by total DMs, since DMs are the closest proxy to the stated goal (inbound leads/walk-ins). Day 7's Format, Hook ID, and Posting Time on 'Daily Log' auto-pull from whichever of Days 1-6 generated the most DMs.</t>
  </si>
  <si>
    <t xml:space="preserve">- Hook Bank 'Repeatable?' auto-suggestion uses a starting rule of thumb: &gt;=2 DMs on a hook = 'Keeper'. This is a heuristic, not a rule from the brief — override it with your own judgment once you see comment quality too.</t>
  </si>
  <si>
    <t xml:space="preserve">- Days 8-30 are left blank by design (Week 2+ strategy in the brief explicitly depends on which format/hooks win in Days 1-7 — don't pre-fill a guess).</t>
  </si>
  <si>
    <t xml:space="preserve">Hook ID</t>
  </si>
  <si>
    <t xml:space="preserve">Type</t>
  </si>
  <si>
    <t xml:space="preserve">Hook Text</t>
  </si>
  <si>
    <t xml:space="preserve">Times Used</t>
  </si>
  <si>
    <t xml:space="preserve">Total Views</t>
  </si>
  <si>
    <t xml:space="preserve">Avg Watch Time %</t>
  </si>
  <si>
    <t xml:space="preserve">Total Saves</t>
  </si>
  <si>
    <t xml:space="preserve">Total DMs</t>
  </si>
  <si>
    <t xml:space="preserve">Repeatable? (auto-suggested)</t>
  </si>
  <si>
    <t xml:space="preserve">V1</t>
  </si>
  <si>
    <t xml:space="preserve">Value</t>
  </si>
  <si>
    <t xml:space="preserve">Neglect costs money. This boat sat for months, which means oxidation, mold, saltwater damage. One detail later? Ready to sell or rent. That's preservation.</t>
  </si>
  <si>
    <t xml:space="preserve">V2</t>
  </si>
  <si>
    <t xml:space="preserve">Your boat's value drops 10% per month of neglect. Cleaning and detailing isn't vanity — it's protecting your investment.</t>
  </si>
  <si>
    <t xml:space="preserve">V3</t>
  </si>
  <si>
    <t xml:space="preserve">Regular detailing = longer boat life. Saltwater + sun = deterioration. We stop that.</t>
  </si>
  <si>
    <t xml:space="preserve">V4</t>
  </si>
  <si>
    <t xml:space="preserve">Most boat owners don't realize: a clean boat is a safe boat. No mold in storage. No corrosion eating the hull.</t>
  </si>
  <si>
    <t xml:space="preserve">V5</t>
  </si>
  <si>
    <t xml:space="preserve">Before you sell or rent your boat, detail it. Buyers and renters pay more for a boat that looks maintained. Simple math.</t>
  </si>
  <si>
    <t xml:space="preserve">V6</t>
  </si>
  <si>
    <t xml:space="preserve">Mold remediation costs $2K+. A $200 detail every few months prevents that entire bill. That's not cleaning — it's smart money.</t>
  </si>
  <si>
    <t xml:space="preserve">V7</t>
  </si>
  <si>
    <t xml:space="preserve">A neglected boat won't pass inspection for insurance or rental. Maintenance isn't optional.</t>
  </si>
  <si>
    <t xml:space="preserve">V8</t>
  </si>
  <si>
    <t xml:space="preserve">Salt and UV don't take breaks. Your boat's either getting maintained or getting expensive.</t>
  </si>
  <si>
    <t xml:space="preserve">V9</t>
  </si>
  <si>
    <t xml:space="preserve">Buyers notice everything. A detailed boat sells 3x faster and for 15% more. That detail cost? You just made it back in negotiation.</t>
  </si>
  <si>
    <t xml:space="preserve">V10</t>
  </si>
  <si>
    <t xml:space="preserve">Your boat's engine doesn't care how it looks. But buyers do. Neglect reads as 'I didn't maintain the mechanical either.'</t>
  </si>
  <si>
    <t xml:space="preserve">R1</t>
  </si>
  <si>
    <t xml:space="preserve">Reynolds-style</t>
  </si>
  <si>
    <t xml:space="preserve">I restore boats better than I restore my life choices.</t>
  </si>
  <si>
    <t xml:space="preserve">R2</t>
  </si>
  <si>
    <t xml:space="preserve">Your boat's been judging you the whole time.</t>
  </si>
  <si>
    <t xml:space="preserve">R3</t>
  </si>
  <si>
    <t xml:space="preserve">Your boat's judging you less than I am.</t>
  </si>
  <si>
    <t xml:space="preserve">R4</t>
  </si>
  <si>
    <t xml:space="preserve">Boats deserve better owners. Lucky for you, we clean theirs.</t>
  </si>
  <si>
    <t xml:space="preserve">R5</t>
  </si>
  <si>
    <t xml:space="preserve">No boat? Rent ours. Have one? We make it stop looking sad.</t>
  </si>
  <si>
    <t xml:space="preserve">Day</t>
  </si>
  <si>
    <t xml:space="preserve">Date</t>
  </si>
  <si>
    <t xml:space="preserve">Format</t>
  </si>
  <si>
    <t xml:space="preserve">Posting Time</t>
  </si>
  <si>
    <t xml:space="preserve">Views (24h)</t>
  </si>
  <si>
    <t xml:space="preserve">Watch Time %</t>
  </si>
  <si>
    <t xml:space="preserve">Drop-off Rate %</t>
  </si>
  <si>
    <t xml:space="preserve">Likes</t>
  </si>
  <si>
    <t xml:space="preserve">Saves</t>
  </si>
  <si>
    <t xml:space="preserve">Shares</t>
  </si>
  <si>
    <t xml:space="preserve">DMs</t>
  </si>
  <si>
    <t xml:space="preserve">Comments (Total)</t>
  </si>
  <si>
    <t xml:space="preserve">Comments - Buying Signal (#)</t>
  </si>
  <si>
    <t xml:space="preserve">DM Response Time (min, avg)</t>
  </si>
  <si>
    <t xml:space="preserve">Click-throughs to page/tag</t>
  </si>
  <si>
    <t xml:space="preserve">Screenshot Taken (Y/N)</t>
  </si>
  <si>
    <t xml:space="preserve">Notes</t>
  </si>
  <si>
    <t xml:space="preserve">A</t>
  </si>
  <si>
    <t xml:space="preserve">6 PM</t>
  </si>
  <si>
    <t xml:space="preserve">Brief notes the first video hit ~500 views by evening -- confirm if this IS Day 1's post, then log the final 24h number in F2.</t>
  </si>
  <si>
    <t xml:space="preserve">B</t>
  </si>
  <si>
    <t xml:space="preserve">10 AM</t>
  </si>
  <si>
    <t xml:space="preserve">C</t>
  </si>
  <si>
    <t xml:space="preserve">TBD</t>
  </si>
  <si>
    <t xml:space="preserve">Code</t>
  </si>
  <si>
    <t xml:space="preserve">Avg Views</t>
  </si>
  <si>
    <t xml:space="preserve">Avg Saves</t>
  </si>
  <si>
    <t xml:space="preserve">Winner</t>
  </si>
  <si>
    <t xml:space="preserve">Long-form (60s)</t>
  </si>
  <si>
    <t xml:space="preserve">Short-form (10-15s)</t>
  </si>
  <si>
    <t xml:space="preserve">Carousel</t>
  </si>
  <si>
    <t xml:space="preserve">Winner is determined by Total DMs (closest proxy to the brief's goal: inbound leads/walk-ins). Views and Watch Time still matter for reach and hook quality -- check both before deciding.</t>
  </si>
  <si>
    <t xml:space="preserve">7-Day Test -- Endgame Presentation</t>
  </si>
  <si>
    <t xml:space="preserve">All figures below pull live from 'Daily Log' rows 2-8 (Day 1-7). Nothing here is typed in by hand except the one manual tag noted below.</t>
  </si>
  <si>
    <t xml:space="preserve">Total Views (7-day test)</t>
  </si>
  <si>
    <t xml:space="preserve">Total Engagement (Likes+Saves+Shares+Comments)</t>
  </si>
  <si>
    <t xml:space="preserve">Engagement Rate (%)</t>
  </si>
  <si>
    <t xml:space="preserve">Total DMs Received (7-day)</t>
  </si>
  <si>
    <t xml:space="preserve">Booking-intent DMs (manual tag -- review DM content and enter count)</t>
  </si>
  <si>
    <t xml:space="preserve">Avg Watch Time % (7-day)</t>
  </si>
  <si>
    <t xml:space="preserve">Winning Format</t>
  </si>
  <si>
    <t xml:space="preserve">Winning Hook (by DMs)</t>
  </si>
  <si>
    <t xml:space="preserve">Winning Hook Text</t>
  </si>
  <si>
    <t xml:space="preserve">Growth Trajectory Day1-&gt;Day7 Views (% change)</t>
  </si>
  <si>
    <t xml:space="preserve">Auto-generated pitch line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</si>
</sst>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/dd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27.75" hidden="false" customHeight="true" outlineLevel="0" collapsed="false">
      <c r="A7" s="3" t="s">
        <v>4</v>
      </c>
    </row>
    <row r="8" customFormat="false" ht="27.75" hidden="false" customHeight="true" outlineLevel="0" collapsed="false">
      <c r="A8" s="3" t="s">
        <v>5</v>
      </c>
    </row>
    <row r="9" customFormat="false" ht="27.75" hidden="false" customHeight="true" outlineLevel="0" collapsed="false">
      <c r="A9" s="3" t="s">
        <v>6</v>
      </c>
    </row>
    <row r="10" customFormat="false" ht="27.75" hidden="false" customHeight="true" outlineLevel="0" collapsed="false">
      <c r="A10" s="3" t="s">
        <v>7</v>
      </c>
    </row>
    <row r="11" customFormat="false" ht="27.75" hidden="false" customHeight="true" outlineLevel="0" collapsed="false">
      <c r="A11" s="3" t="s">
        <v>8</v>
      </c>
    </row>
    <row r="12" customFormat="false" ht="27.75" hidden="false" customHeight="true" outlineLevel="0" collapsed="false">
      <c r="A12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9" customFormat="false" ht="15" hidden="false" customHeight="false" outlineLevel="0" collapsed="false">
      <c r="A19" s="2" t="s">
        <v>14</v>
      </c>
    </row>
    <row r="20" customFormat="false" ht="42" hidden="false" customHeight="true" outlineLevel="0" collapsed="false">
      <c r="A20" s="3" t="s">
        <v>15</v>
      </c>
    </row>
    <row r="21" customFormat="false" ht="42" hidden="false" customHeight="true" outlineLevel="0" collapsed="false">
      <c r="A21" s="3" t="s">
        <v>16</v>
      </c>
    </row>
    <row r="22" customFormat="false" ht="42" hidden="false" customHeight="true" outlineLevel="0" collapsed="false">
      <c r="A22" s="3" t="s">
        <v>17</v>
      </c>
    </row>
    <row r="23" customFormat="false" ht="42" hidden="false" customHeight="true" outlineLevel="0" collapsed="false">
      <c r="A23" s="3" t="s">
        <v>18</v>
      </c>
    </row>
    <row r="24" customFormat="false" ht="42" hidden="false" customHeight="tru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22"/>
  </cols>
  <sheetData>
    <row r="1" customFormat="false" ht="30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</row>
    <row r="2" customFormat="false" ht="64.5" hidden="false" customHeight="true" outlineLevel="0" collapsed="false">
      <c r="A2" s="4" t="s">
        <v>29</v>
      </c>
      <c r="B2" s="4" t="s">
        <v>30</v>
      </c>
      <c r="C2" s="3" t="s">
        <v>31</v>
      </c>
      <c r="D2" s="6" t="n">
        <f aca="false">COUNTIF('Daily Log'!$D$2:$D$31,$A2)</f>
        <v>1</v>
      </c>
      <c r="E2" s="6" t="n">
        <f aca="false">SUMIF('Daily Log'!$D$2:$D$31,$A2,'Daily Log'!$F$2:$F$31)</f>
        <v>0</v>
      </c>
      <c r="F2" s="6" t="str">
        <f aca="false">IFERROR(AVERAGEIF('Daily Log'!$D$2:$D$31,$A2,'Daily Log'!$G$2:$G$31),"")</f>
        <v/>
      </c>
      <c r="G2" s="6" t="n">
        <f aca="false">SUMIF('Daily Log'!$D$2:$D$31,$A2,'Daily Log'!$J$2:$J$31)</f>
        <v>0</v>
      </c>
      <c r="H2" s="6" t="n">
        <f aca="false">SUMIF('Daily Log'!$D$2:$D$31,$A2,'Daily Log'!$L$2:$L$31)</f>
        <v>0</v>
      </c>
      <c r="I2" s="6" t="str">
        <f aca="false">IF(D2=0,"Not tested yet",IF(H2&gt;=2,"KEEPER",IF(H2&gt;=1,"Watch","Retest / cut")))</f>
        <v>Retest / cut</v>
      </c>
    </row>
    <row r="3" customFormat="false" ht="49.5" hidden="false" customHeight="true" outlineLevel="0" collapsed="false">
      <c r="A3" s="4" t="s">
        <v>32</v>
      </c>
      <c r="B3" s="4" t="s">
        <v>30</v>
      </c>
      <c r="C3" s="3" t="s">
        <v>33</v>
      </c>
      <c r="D3" s="6" t="n">
        <f aca="false">COUNTIF('Daily Log'!$D$2:$D$31,$A3)</f>
        <v>0</v>
      </c>
      <c r="E3" s="6" t="n">
        <f aca="false">SUMIF('Daily Log'!$D$2:$D$31,$A3,'Daily Log'!$F$2:$F$31)</f>
        <v>0</v>
      </c>
      <c r="F3" s="6" t="str">
        <f aca="false">IFERROR(AVERAGEIF('Daily Log'!$D$2:$D$31,$A3,'Daily Log'!$G$2:$G$31),"")</f>
        <v/>
      </c>
      <c r="G3" s="6" t="n">
        <f aca="false">SUMIF('Daily Log'!$D$2:$D$31,$A3,'Daily Log'!$J$2:$J$31)</f>
        <v>0</v>
      </c>
      <c r="H3" s="6" t="n">
        <f aca="false">SUMIF('Daily Log'!$D$2:$D$31,$A3,'Daily Log'!$L$2:$L$31)</f>
        <v>0</v>
      </c>
      <c r="I3" s="6" t="str">
        <f aca="false">IF(D3=0,"Not tested yet",IF(H3&gt;=2,"KEEPER",IF(H3&gt;=1,"Watch","Retest / cut")))</f>
        <v>Not tested yet</v>
      </c>
    </row>
    <row r="4" customFormat="false" ht="34.5" hidden="false" customHeight="true" outlineLevel="0" collapsed="false">
      <c r="A4" s="4" t="s">
        <v>34</v>
      </c>
      <c r="B4" s="4" t="s">
        <v>30</v>
      </c>
      <c r="C4" s="3" t="s">
        <v>35</v>
      </c>
      <c r="D4" s="6" t="n">
        <f aca="false">COUNTIF('Daily Log'!$D$2:$D$31,$A4)</f>
        <v>0</v>
      </c>
      <c r="E4" s="6" t="n">
        <f aca="false">SUMIF('Daily Log'!$D$2:$D$31,$A4,'Daily Log'!$F$2:$F$31)</f>
        <v>0</v>
      </c>
      <c r="F4" s="6" t="str">
        <f aca="false">IFERROR(AVERAGEIF('Daily Log'!$D$2:$D$31,$A4,'Daily Log'!$G$2:$G$31),"")</f>
        <v/>
      </c>
      <c r="G4" s="6" t="n">
        <f aca="false">SUMIF('Daily Log'!$D$2:$D$31,$A4,'Daily Log'!$J$2:$J$31)</f>
        <v>0</v>
      </c>
      <c r="H4" s="6" t="n">
        <f aca="false">SUMIF('Daily Log'!$D$2:$D$31,$A4,'Daily Log'!$L$2:$L$31)</f>
        <v>0</v>
      </c>
      <c r="I4" s="6" t="str">
        <f aca="false">IF(D4=0,"Not tested yet",IF(H4&gt;=2,"KEEPER",IF(H4&gt;=1,"Watch","Retest / cut")))</f>
        <v>Not tested yet</v>
      </c>
    </row>
    <row r="5" customFormat="false" ht="49.5" hidden="false" customHeight="true" outlineLevel="0" collapsed="false">
      <c r="A5" s="4" t="s">
        <v>36</v>
      </c>
      <c r="B5" s="4" t="s">
        <v>30</v>
      </c>
      <c r="C5" s="3" t="s">
        <v>37</v>
      </c>
      <c r="D5" s="6" t="n">
        <f aca="false">COUNTIF('Daily Log'!$D$2:$D$31,$A5)</f>
        <v>1</v>
      </c>
      <c r="E5" s="6" t="n">
        <f aca="false">SUMIF('Daily Log'!$D$2:$D$31,$A5,'Daily Log'!$F$2:$F$31)</f>
        <v>0</v>
      </c>
      <c r="F5" s="6" t="str">
        <f aca="false">IFERROR(AVERAGEIF('Daily Log'!$D$2:$D$31,$A5,'Daily Log'!$G$2:$G$31),"")</f>
        <v/>
      </c>
      <c r="G5" s="6" t="n">
        <f aca="false">SUMIF('Daily Log'!$D$2:$D$31,$A5,'Daily Log'!$J$2:$J$31)</f>
        <v>0</v>
      </c>
      <c r="H5" s="6" t="n">
        <f aca="false">SUMIF('Daily Log'!$D$2:$D$31,$A5,'Daily Log'!$L$2:$L$31)</f>
        <v>0</v>
      </c>
      <c r="I5" s="6" t="str">
        <f aca="false">IF(D5=0,"Not tested yet",IF(H5&gt;=2,"KEEPER",IF(H5&gt;=1,"Watch","Retest / cut")))</f>
        <v>Retest / cut</v>
      </c>
    </row>
    <row r="6" customFormat="false" ht="49.5" hidden="false" customHeight="true" outlineLevel="0" collapsed="false">
      <c r="A6" s="4" t="s">
        <v>38</v>
      </c>
      <c r="B6" s="4" t="s">
        <v>30</v>
      </c>
      <c r="C6" s="3" t="s">
        <v>39</v>
      </c>
      <c r="D6" s="6" t="n">
        <f aca="false">COUNTIF('Daily Log'!$D$2:$D$31,$A6)</f>
        <v>0</v>
      </c>
      <c r="E6" s="6" t="n">
        <f aca="false">SUMIF('Daily Log'!$D$2:$D$31,$A6,'Daily Log'!$F$2:$F$31)</f>
        <v>0</v>
      </c>
      <c r="F6" s="6" t="str">
        <f aca="false">IFERROR(AVERAGEIF('Daily Log'!$D$2:$D$31,$A6,'Daily Log'!$G$2:$G$31),"")</f>
        <v/>
      </c>
      <c r="G6" s="6" t="n">
        <f aca="false">SUMIF('Daily Log'!$D$2:$D$31,$A6,'Daily Log'!$J$2:$J$31)</f>
        <v>0</v>
      </c>
      <c r="H6" s="6" t="n">
        <f aca="false">SUMIF('Daily Log'!$D$2:$D$31,$A6,'Daily Log'!$L$2:$L$31)</f>
        <v>0</v>
      </c>
      <c r="I6" s="6" t="str">
        <f aca="false">IF(D6=0,"Not tested yet",IF(H6&gt;=2,"KEEPER",IF(H6&gt;=1,"Watch","Retest / cut")))</f>
        <v>Not tested yet</v>
      </c>
    </row>
    <row r="7" customFormat="false" ht="49.5" hidden="false" customHeight="true" outlineLevel="0" collapsed="false">
      <c r="A7" s="4" t="s">
        <v>40</v>
      </c>
      <c r="B7" s="4" t="s">
        <v>30</v>
      </c>
      <c r="C7" s="3" t="s">
        <v>41</v>
      </c>
      <c r="D7" s="6" t="n">
        <f aca="false">COUNTIF('Daily Log'!$D$2:$D$31,$A7)</f>
        <v>0</v>
      </c>
      <c r="E7" s="6" t="n">
        <f aca="false">SUMIF('Daily Log'!$D$2:$D$31,$A7,'Daily Log'!$F$2:$F$31)</f>
        <v>0</v>
      </c>
      <c r="F7" s="6" t="str">
        <f aca="false">IFERROR(AVERAGEIF('Daily Log'!$D$2:$D$31,$A7,'Daily Log'!$G$2:$G$31),"")</f>
        <v/>
      </c>
      <c r="G7" s="6" t="n">
        <f aca="false">SUMIF('Daily Log'!$D$2:$D$31,$A7,'Daily Log'!$J$2:$J$31)</f>
        <v>0</v>
      </c>
      <c r="H7" s="6" t="n">
        <f aca="false">SUMIF('Daily Log'!$D$2:$D$31,$A7,'Daily Log'!$L$2:$L$31)</f>
        <v>0</v>
      </c>
      <c r="I7" s="6" t="str">
        <f aca="false">IF(D7=0,"Not tested yet",IF(H7&gt;=2,"KEEPER",IF(H7&gt;=1,"Watch","Retest / cut")))</f>
        <v>Not tested yet</v>
      </c>
    </row>
    <row r="8" customFormat="false" ht="34.5" hidden="false" customHeight="true" outlineLevel="0" collapsed="false">
      <c r="A8" s="4" t="s">
        <v>42</v>
      </c>
      <c r="B8" s="4" t="s">
        <v>30</v>
      </c>
      <c r="C8" s="3" t="s">
        <v>43</v>
      </c>
      <c r="D8" s="6" t="n">
        <f aca="false">COUNTIF('Daily Log'!$D$2:$D$31,$A8)</f>
        <v>1</v>
      </c>
      <c r="E8" s="6" t="n">
        <f aca="false">SUMIF('Daily Log'!$D$2:$D$31,$A8,'Daily Log'!$F$2:$F$31)</f>
        <v>0</v>
      </c>
      <c r="F8" s="6" t="str">
        <f aca="false">IFERROR(AVERAGEIF('Daily Log'!$D$2:$D$31,$A8,'Daily Log'!$G$2:$G$31),"")</f>
        <v/>
      </c>
      <c r="G8" s="6" t="n">
        <f aca="false">SUMIF('Daily Log'!$D$2:$D$31,$A8,'Daily Log'!$J$2:$J$31)</f>
        <v>0</v>
      </c>
      <c r="H8" s="6" t="n">
        <f aca="false">SUMIF('Daily Log'!$D$2:$D$31,$A8,'Daily Log'!$L$2:$L$31)</f>
        <v>0</v>
      </c>
      <c r="I8" s="6" t="str">
        <f aca="false">IF(D8=0,"Not tested yet",IF(H8&gt;=2,"KEEPER",IF(H8&gt;=1,"Watch","Retest / cut")))</f>
        <v>Retest / cut</v>
      </c>
    </row>
    <row r="9" customFormat="false" ht="34.5" hidden="false" customHeight="true" outlineLevel="0" collapsed="false">
      <c r="A9" s="4" t="s">
        <v>44</v>
      </c>
      <c r="B9" s="4" t="s">
        <v>30</v>
      </c>
      <c r="C9" s="3" t="s">
        <v>45</v>
      </c>
      <c r="D9" s="6" t="n">
        <f aca="false">COUNTIF('Daily Log'!$D$2:$D$31,$A9)</f>
        <v>0</v>
      </c>
      <c r="E9" s="6" t="n">
        <f aca="false">SUMIF('Daily Log'!$D$2:$D$31,$A9,'Daily Log'!$F$2:$F$31)</f>
        <v>0</v>
      </c>
      <c r="F9" s="6" t="str">
        <f aca="false">IFERROR(AVERAGEIF('Daily Log'!$D$2:$D$31,$A9,'Daily Log'!$G$2:$G$31),"")</f>
        <v/>
      </c>
      <c r="G9" s="6" t="n">
        <f aca="false">SUMIF('Daily Log'!$D$2:$D$31,$A9,'Daily Log'!$J$2:$J$31)</f>
        <v>0</v>
      </c>
      <c r="H9" s="6" t="n">
        <f aca="false">SUMIF('Daily Log'!$D$2:$D$31,$A9,'Daily Log'!$L$2:$L$31)</f>
        <v>0</v>
      </c>
      <c r="I9" s="6" t="str">
        <f aca="false">IF(D9=0,"Not tested yet",IF(H9&gt;=2,"KEEPER",IF(H9&gt;=1,"Watch","Retest / cut")))</f>
        <v>Not tested yet</v>
      </c>
    </row>
    <row r="10" customFormat="false" ht="49.5" hidden="false" customHeight="true" outlineLevel="0" collapsed="false">
      <c r="A10" s="4" t="s">
        <v>46</v>
      </c>
      <c r="B10" s="4" t="s">
        <v>30</v>
      </c>
      <c r="C10" s="3" t="s">
        <v>47</v>
      </c>
      <c r="D10" s="6" t="n">
        <f aca="false">COUNTIF('Daily Log'!$D$2:$D$31,$A10)</f>
        <v>0</v>
      </c>
      <c r="E10" s="6" t="n">
        <f aca="false">SUMIF('Daily Log'!$D$2:$D$31,$A10,'Daily Log'!$F$2:$F$31)</f>
        <v>0</v>
      </c>
      <c r="F10" s="6" t="str">
        <f aca="false">IFERROR(AVERAGEIF('Daily Log'!$D$2:$D$31,$A10,'Daily Log'!$G$2:$G$31),"")</f>
        <v/>
      </c>
      <c r="G10" s="6" t="n">
        <f aca="false">SUMIF('Daily Log'!$D$2:$D$31,$A10,'Daily Log'!$J$2:$J$31)</f>
        <v>0</v>
      </c>
      <c r="H10" s="6" t="n">
        <f aca="false">SUMIF('Daily Log'!$D$2:$D$31,$A10,'Daily Log'!$L$2:$L$31)</f>
        <v>0</v>
      </c>
      <c r="I10" s="6" t="str">
        <f aca="false">IF(D10=0,"Not tested yet",IF(H10&gt;=2,"KEEPER",IF(H10&gt;=1,"Watch","Retest / cut")))</f>
        <v>Not tested yet</v>
      </c>
    </row>
    <row r="11" customFormat="false" ht="49.5" hidden="false" customHeight="true" outlineLevel="0" collapsed="false">
      <c r="A11" s="4" t="s">
        <v>48</v>
      </c>
      <c r="B11" s="4" t="s">
        <v>30</v>
      </c>
      <c r="C11" s="3" t="s">
        <v>49</v>
      </c>
      <c r="D11" s="6" t="n">
        <f aca="false">COUNTIF('Daily Log'!$D$2:$D$31,$A11)</f>
        <v>0</v>
      </c>
      <c r="E11" s="6" t="n">
        <f aca="false">SUMIF('Daily Log'!$D$2:$D$31,$A11,'Daily Log'!$F$2:$F$31)</f>
        <v>0</v>
      </c>
      <c r="F11" s="6" t="str">
        <f aca="false">IFERROR(AVERAGEIF('Daily Log'!$D$2:$D$31,$A11,'Daily Log'!$G$2:$G$31),"")</f>
        <v/>
      </c>
      <c r="G11" s="6" t="n">
        <f aca="false">SUMIF('Daily Log'!$D$2:$D$31,$A11,'Daily Log'!$J$2:$J$31)</f>
        <v>0</v>
      </c>
      <c r="H11" s="6" t="n">
        <f aca="false">SUMIF('Daily Log'!$D$2:$D$31,$A11,'Daily Log'!$L$2:$L$31)</f>
        <v>0</v>
      </c>
      <c r="I11" s="6" t="str">
        <f aca="false">IF(D11=0,"Not tested yet",IF(H11&gt;=2,"KEEPER",IF(H11&gt;=1,"Watch","Retest / cut")))</f>
        <v>Not tested yet</v>
      </c>
    </row>
    <row r="12" customFormat="false" ht="34.5" hidden="false" customHeight="true" outlineLevel="0" collapsed="false">
      <c r="A12" s="4" t="s">
        <v>50</v>
      </c>
      <c r="B12" s="4" t="s">
        <v>51</v>
      </c>
      <c r="C12" s="3" t="s">
        <v>52</v>
      </c>
      <c r="D12" s="6" t="n">
        <f aca="false">COUNTIF('Daily Log'!$D$2:$D$31,$A12)</f>
        <v>0</v>
      </c>
      <c r="E12" s="6" t="n">
        <f aca="false">SUMIF('Daily Log'!$D$2:$D$31,$A12,'Daily Log'!$F$2:$F$31)</f>
        <v>0</v>
      </c>
      <c r="F12" s="6" t="str">
        <f aca="false">IFERROR(AVERAGEIF('Daily Log'!$D$2:$D$31,$A12,'Daily Log'!$G$2:$G$31),"")</f>
        <v/>
      </c>
      <c r="G12" s="6" t="n">
        <f aca="false">SUMIF('Daily Log'!$D$2:$D$31,$A12,'Daily Log'!$J$2:$J$31)</f>
        <v>0</v>
      </c>
      <c r="H12" s="6" t="n">
        <f aca="false">SUMIF('Daily Log'!$D$2:$D$31,$A12,'Daily Log'!$L$2:$L$31)</f>
        <v>0</v>
      </c>
      <c r="I12" s="6" t="str">
        <f aca="false">IF(D12=0,"Not tested yet",IF(H12&gt;=2,"KEEPER",IF(H12&gt;=1,"Watch","Retest / cut")))</f>
        <v>Not tested yet</v>
      </c>
    </row>
    <row r="13" customFormat="false" ht="19.5" hidden="false" customHeight="true" outlineLevel="0" collapsed="false">
      <c r="A13" s="4" t="s">
        <v>53</v>
      </c>
      <c r="B13" s="4" t="s">
        <v>51</v>
      </c>
      <c r="C13" s="3" t="s">
        <v>54</v>
      </c>
      <c r="D13" s="6" t="n">
        <f aca="false">COUNTIF('Daily Log'!$D$2:$D$31,$A13)</f>
        <v>0</v>
      </c>
      <c r="E13" s="6" t="n">
        <f aca="false">SUMIF('Daily Log'!$D$2:$D$31,$A13,'Daily Log'!$F$2:$F$31)</f>
        <v>0</v>
      </c>
      <c r="F13" s="6" t="str">
        <f aca="false">IFERROR(AVERAGEIF('Daily Log'!$D$2:$D$31,$A13,'Daily Log'!$G$2:$G$31),"")</f>
        <v/>
      </c>
      <c r="G13" s="6" t="n">
        <f aca="false">SUMIF('Daily Log'!$D$2:$D$31,$A13,'Daily Log'!$J$2:$J$31)</f>
        <v>0</v>
      </c>
      <c r="H13" s="6" t="n">
        <f aca="false">SUMIF('Daily Log'!$D$2:$D$31,$A13,'Daily Log'!$L$2:$L$31)</f>
        <v>0</v>
      </c>
      <c r="I13" s="6" t="str">
        <f aca="false">IF(D13=0,"Not tested yet",IF(H13&gt;=2,"KEEPER",IF(H13&gt;=1,"Watch","Retest / cut")))</f>
        <v>Not tested yet</v>
      </c>
    </row>
    <row r="14" customFormat="false" ht="19.5" hidden="false" customHeight="true" outlineLevel="0" collapsed="false">
      <c r="A14" s="4" t="s">
        <v>55</v>
      </c>
      <c r="B14" s="4" t="s">
        <v>51</v>
      </c>
      <c r="C14" s="3" t="s">
        <v>56</v>
      </c>
      <c r="D14" s="6" t="n">
        <f aca="false">COUNTIF('Daily Log'!$D$2:$D$31,$A14)</f>
        <v>0</v>
      </c>
      <c r="E14" s="6" t="n">
        <f aca="false">SUMIF('Daily Log'!$D$2:$D$31,$A14,'Daily Log'!$F$2:$F$31)</f>
        <v>0</v>
      </c>
      <c r="F14" s="6" t="str">
        <f aca="false">IFERROR(AVERAGEIF('Daily Log'!$D$2:$D$31,$A14,'Daily Log'!$G$2:$G$31),"")</f>
        <v/>
      </c>
      <c r="G14" s="6" t="n">
        <f aca="false">SUMIF('Daily Log'!$D$2:$D$31,$A14,'Daily Log'!$J$2:$J$31)</f>
        <v>0</v>
      </c>
      <c r="H14" s="6" t="n">
        <f aca="false">SUMIF('Daily Log'!$D$2:$D$31,$A14,'Daily Log'!$L$2:$L$31)</f>
        <v>0</v>
      </c>
      <c r="I14" s="6" t="str">
        <f aca="false">IF(D14=0,"Not tested yet",IF(H14&gt;=2,"KEEPER",IF(H14&gt;=1,"Watch","Retest / cut")))</f>
        <v>Not tested yet</v>
      </c>
    </row>
    <row r="15" customFormat="false" ht="34.5" hidden="false" customHeight="true" outlineLevel="0" collapsed="false">
      <c r="A15" s="4" t="s">
        <v>57</v>
      </c>
      <c r="B15" s="4" t="s">
        <v>51</v>
      </c>
      <c r="C15" s="3" t="s">
        <v>58</v>
      </c>
      <c r="D15" s="6" t="n">
        <f aca="false">COUNTIF('Daily Log'!$D$2:$D$31,$A15)</f>
        <v>0</v>
      </c>
      <c r="E15" s="6" t="n">
        <f aca="false">SUMIF('Daily Log'!$D$2:$D$31,$A15,'Daily Log'!$F$2:$F$31)</f>
        <v>0</v>
      </c>
      <c r="F15" s="6" t="str">
        <f aca="false">IFERROR(AVERAGEIF('Daily Log'!$D$2:$D$31,$A15,'Daily Log'!$G$2:$G$31),"")</f>
        <v/>
      </c>
      <c r="G15" s="6" t="n">
        <f aca="false">SUMIF('Daily Log'!$D$2:$D$31,$A15,'Daily Log'!$J$2:$J$31)</f>
        <v>0</v>
      </c>
      <c r="H15" s="6" t="n">
        <f aca="false">SUMIF('Daily Log'!$D$2:$D$31,$A15,'Daily Log'!$L$2:$L$31)</f>
        <v>0</v>
      </c>
      <c r="I15" s="6" t="str">
        <f aca="false">IF(D15=0,"Not tested yet",IF(H15&gt;=2,"KEEPER",IF(H15&gt;=1,"Watch","Retest / cut")))</f>
        <v>Not tested yet</v>
      </c>
    </row>
    <row r="16" customFormat="false" ht="34.5" hidden="false" customHeight="true" outlineLevel="0" collapsed="false">
      <c r="A16" s="4" t="s">
        <v>59</v>
      </c>
      <c r="B16" s="4" t="s">
        <v>51</v>
      </c>
      <c r="C16" s="3" t="s">
        <v>60</v>
      </c>
      <c r="D16" s="6" t="n">
        <f aca="false">COUNTIF('Daily Log'!$D$2:$D$31,$A16)</f>
        <v>0</v>
      </c>
      <c r="E16" s="6" t="n">
        <f aca="false">SUMIF('Daily Log'!$D$2:$D$31,$A16,'Daily Log'!$F$2:$F$31)</f>
        <v>0</v>
      </c>
      <c r="F16" s="6" t="str">
        <f aca="false">IFERROR(AVERAGEIF('Daily Log'!$D$2:$D$31,$A16,'Daily Log'!$G$2:$G$31),"")</f>
        <v/>
      </c>
      <c r="G16" s="6" t="n">
        <f aca="false">SUMIF('Daily Log'!$D$2:$D$31,$A16,'Daily Log'!$J$2:$J$31)</f>
        <v>0</v>
      </c>
      <c r="H16" s="6" t="n">
        <f aca="false">SUMIF('Daily Log'!$D$2:$D$31,$A16,'Daily Log'!$L$2:$L$31)</f>
        <v>0</v>
      </c>
      <c r="I16" s="6" t="str">
        <f aca="false">IF(D16=0,"Not tested yet",IF(H16&gt;=2,"KEEPER",IF(H16&gt;=1,"Watch","Retest / cut")))</f>
        <v>Not tested yet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3"/>
    <col collapsed="false" customWidth="true" hidden="false" outlineLevel="0" max="16" min="14" style="0" width="14"/>
    <col collapsed="false" customWidth="true" hidden="false" outlineLevel="0" max="17" min="17" style="0" width="12"/>
    <col collapsed="false" customWidth="true" hidden="false" outlineLevel="0" max="18" min="18" style="0" width="30"/>
  </cols>
  <sheetData>
    <row r="1" customFormat="false" ht="33.75" hidden="false" customHeight="true" outlineLevel="0" collapsed="false">
      <c r="A1" s="5" t="s">
        <v>61</v>
      </c>
      <c r="B1" s="5" t="s">
        <v>62</v>
      </c>
      <c r="C1" s="5" t="s">
        <v>63</v>
      </c>
      <c r="D1" s="5" t="s">
        <v>20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  <c r="M1" s="5" t="s">
        <v>72</v>
      </c>
      <c r="N1" s="5" t="s">
        <v>73</v>
      </c>
      <c r="O1" s="5" t="s">
        <v>74</v>
      </c>
      <c r="P1" s="5" t="s">
        <v>75</v>
      </c>
      <c r="Q1" s="5" t="s">
        <v>76</v>
      </c>
      <c r="R1" s="5" t="s">
        <v>77</v>
      </c>
    </row>
    <row r="2" customFormat="false" ht="32.8" hidden="false" customHeight="false" outlineLevel="0" collapsed="false">
      <c r="A2" s="7" t="n">
        <v>1</v>
      </c>
      <c r="B2" s="8" t="n">
        <v>46239</v>
      </c>
      <c r="C2" s="9" t="s">
        <v>78</v>
      </c>
      <c r="D2" s="9" t="s">
        <v>29</v>
      </c>
      <c r="E2" s="9" t="s">
        <v>79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 t="s">
        <v>80</v>
      </c>
    </row>
    <row r="3" customFormat="false" ht="15" hidden="false" customHeight="false" outlineLevel="0" collapsed="false">
      <c r="A3" s="7" t="n">
        <v>2</v>
      </c>
      <c r="B3" s="12" t="n">
        <f aca="false">B2+1</f>
        <v>46240</v>
      </c>
      <c r="C3" s="9" t="s">
        <v>81</v>
      </c>
      <c r="D3" s="9" t="s">
        <v>36</v>
      </c>
      <c r="E3" s="9" t="s">
        <v>82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9"/>
    </row>
    <row r="4" customFormat="false" ht="15" hidden="false" customHeight="false" outlineLevel="0" collapsed="false">
      <c r="A4" s="7" t="n">
        <v>3</v>
      </c>
      <c r="B4" s="12" t="n">
        <f aca="false">B3+1</f>
        <v>46241</v>
      </c>
      <c r="C4" s="9" t="s">
        <v>83</v>
      </c>
      <c r="D4" s="9" t="s">
        <v>42</v>
      </c>
      <c r="E4" s="9" t="s">
        <v>79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9"/>
    </row>
    <row r="5" customFormat="false" ht="15" hidden="false" customHeight="false" outlineLevel="0" collapsed="false">
      <c r="A5" s="7" t="n">
        <v>4</v>
      </c>
      <c r="B5" s="12" t="n">
        <f aca="false">B4+1</f>
        <v>46242</v>
      </c>
      <c r="C5" s="9" t="s">
        <v>78</v>
      </c>
      <c r="D5" s="9" t="s">
        <v>84</v>
      </c>
      <c r="E5" s="9" t="s">
        <v>82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</row>
    <row r="6" customFormat="false" ht="15" hidden="false" customHeight="false" outlineLevel="0" collapsed="false">
      <c r="A6" s="7" t="n">
        <v>5</v>
      </c>
      <c r="B6" s="12" t="n">
        <f aca="false">B5+1</f>
        <v>46243</v>
      </c>
      <c r="C6" s="9" t="s">
        <v>81</v>
      </c>
      <c r="D6" s="9" t="s">
        <v>84</v>
      </c>
      <c r="E6" s="9" t="s">
        <v>79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</row>
    <row r="7" customFormat="false" ht="15" hidden="false" customHeight="false" outlineLevel="0" collapsed="false">
      <c r="A7" s="7" t="n">
        <v>6</v>
      </c>
      <c r="B7" s="12" t="n">
        <f aca="false">B6+1</f>
        <v>46244</v>
      </c>
      <c r="C7" s="9" t="s">
        <v>83</v>
      </c>
      <c r="D7" s="9" t="s">
        <v>84</v>
      </c>
      <c r="E7" s="9" t="s">
        <v>82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9"/>
    </row>
    <row r="8" customFormat="false" ht="15" hidden="false" customHeight="false" outlineLevel="0" collapsed="false">
      <c r="A8" s="7" t="n">
        <v>7</v>
      </c>
      <c r="B8" s="12" t="n">
        <f aca="false">B7+1</f>
        <v>46245</v>
      </c>
      <c r="C8" s="13" t="str">
        <f aca="false">IFERROR(INDEX(C2:C7,MATCH(MAX(L2:L7),L2:L7,0)),"TBD - no DMs logged yet")</f>
        <v>TBD - no DMs logged yet</v>
      </c>
      <c r="D8" s="13" t="str">
        <f aca="false">IFERROR(INDEX(D2:D7,MATCH(MAX(L2:L7),L2:L7,0)),"TBD - no DMs logged yet")</f>
        <v>TBD - no DMs logged yet</v>
      </c>
      <c r="E8" s="13" t="str">
        <f aca="false">IFERROR(INDEX(E2:E7,MATCH(MAX(L2:L7),L2:L7,0)),"TBD - no DMs logged yet")</f>
        <v>TBD - no DMs logged yet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9"/>
    </row>
    <row r="9" customFormat="false" ht="15" hidden="false" customHeight="false" outlineLevel="0" collapsed="false">
      <c r="A9" s="7" t="n">
        <v>8</v>
      </c>
      <c r="B9" s="12" t="n">
        <f aca="false">B8+1</f>
        <v>46246</v>
      </c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9"/>
    </row>
    <row r="10" customFormat="false" ht="15" hidden="false" customHeight="false" outlineLevel="0" collapsed="false">
      <c r="A10" s="7" t="n">
        <v>9</v>
      </c>
      <c r="B10" s="12" t="n">
        <f aca="false">B9+1</f>
        <v>46247</v>
      </c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9"/>
    </row>
    <row r="11" customFormat="false" ht="15" hidden="false" customHeight="false" outlineLevel="0" collapsed="false">
      <c r="A11" s="7" t="n">
        <v>10</v>
      </c>
      <c r="B11" s="12" t="n">
        <f aca="false">B10+1</f>
        <v>46248</v>
      </c>
      <c r="C11" s="9"/>
      <c r="D11" s="9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9"/>
    </row>
    <row r="12" customFormat="false" ht="15" hidden="false" customHeight="false" outlineLevel="0" collapsed="false">
      <c r="A12" s="7" t="n">
        <v>11</v>
      </c>
      <c r="B12" s="12" t="n">
        <f aca="false">B11+1</f>
        <v>46249</v>
      </c>
      <c r="C12" s="9"/>
      <c r="D12" s="9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9"/>
    </row>
    <row r="13" customFormat="false" ht="15" hidden="false" customHeight="false" outlineLevel="0" collapsed="false">
      <c r="A13" s="7" t="n">
        <v>12</v>
      </c>
      <c r="B13" s="12" t="n">
        <f aca="false">B12+1</f>
        <v>46250</v>
      </c>
      <c r="C13" s="9"/>
      <c r="D13" s="9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9"/>
    </row>
    <row r="14" customFormat="false" ht="15" hidden="false" customHeight="false" outlineLevel="0" collapsed="false">
      <c r="A14" s="7" t="n">
        <v>13</v>
      </c>
      <c r="B14" s="12" t="n">
        <f aca="false">B13+1</f>
        <v>46251</v>
      </c>
      <c r="C14" s="9"/>
      <c r="D14" s="9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9"/>
    </row>
    <row r="15" customFormat="false" ht="15" hidden="false" customHeight="false" outlineLevel="0" collapsed="false">
      <c r="A15" s="7" t="n">
        <v>14</v>
      </c>
      <c r="B15" s="12" t="n">
        <f aca="false">B14+1</f>
        <v>46252</v>
      </c>
      <c r="C15" s="9"/>
      <c r="D15" s="9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9"/>
    </row>
    <row r="16" customFormat="false" ht="15" hidden="false" customHeight="false" outlineLevel="0" collapsed="false">
      <c r="A16" s="7" t="n">
        <v>15</v>
      </c>
      <c r="B16" s="12" t="n">
        <f aca="false">B15+1</f>
        <v>46253</v>
      </c>
      <c r="C16" s="9"/>
      <c r="D16" s="9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9"/>
    </row>
    <row r="17" customFormat="false" ht="15" hidden="false" customHeight="false" outlineLevel="0" collapsed="false">
      <c r="A17" s="7" t="n">
        <v>16</v>
      </c>
      <c r="B17" s="12" t="n">
        <f aca="false">B16+1</f>
        <v>46254</v>
      </c>
      <c r="C17" s="9"/>
      <c r="D17" s="9"/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9"/>
    </row>
    <row r="18" customFormat="false" ht="15" hidden="false" customHeight="false" outlineLevel="0" collapsed="false">
      <c r="A18" s="7" t="n">
        <v>17</v>
      </c>
      <c r="B18" s="12" t="n">
        <f aca="false">B17+1</f>
        <v>46255</v>
      </c>
      <c r="C18" s="9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9"/>
    </row>
    <row r="19" customFormat="false" ht="15" hidden="false" customHeight="false" outlineLevel="0" collapsed="false">
      <c r="A19" s="7" t="n">
        <v>18</v>
      </c>
      <c r="B19" s="12" t="n">
        <f aca="false">B18+1</f>
        <v>46256</v>
      </c>
      <c r="C19" s="9"/>
      <c r="D19" s="9"/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9"/>
    </row>
    <row r="20" customFormat="false" ht="15" hidden="false" customHeight="false" outlineLevel="0" collapsed="false">
      <c r="A20" s="7" t="n">
        <v>19</v>
      </c>
      <c r="B20" s="12" t="n">
        <f aca="false">B19+1</f>
        <v>46257</v>
      </c>
      <c r="C20" s="9"/>
      <c r="D20" s="9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9"/>
    </row>
    <row r="21" customFormat="false" ht="15" hidden="false" customHeight="false" outlineLevel="0" collapsed="false">
      <c r="A21" s="7" t="n">
        <v>20</v>
      </c>
      <c r="B21" s="12" t="n">
        <f aca="false">B20+1</f>
        <v>46258</v>
      </c>
      <c r="C21" s="9"/>
      <c r="D21" s="9"/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9"/>
    </row>
    <row r="22" customFormat="false" ht="15" hidden="false" customHeight="false" outlineLevel="0" collapsed="false">
      <c r="A22" s="7" t="n">
        <v>21</v>
      </c>
      <c r="B22" s="12" t="n">
        <f aca="false">B21+1</f>
        <v>46259</v>
      </c>
      <c r="C22" s="9"/>
      <c r="D22" s="9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9"/>
    </row>
    <row r="23" customFormat="false" ht="15" hidden="false" customHeight="false" outlineLevel="0" collapsed="false">
      <c r="A23" s="7" t="n">
        <v>22</v>
      </c>
      <c r="B23" s="12" t="n">
        <f aca="false">B22+1</f>
        <v>46260</v>
      </c>
      <c r="C23" s="9"/>
      <c r="D23" s="9"/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9"/>
    </row>
    <row r="24" customFormat="false" ht="15" hidden="false" customHeight="false" outlineLevel="0" collapsed="false">
      <c r="A24" s="7" t="n">
        <v>23</v>
      </c>
      <c r="B24" s="12" t="n">
        <f aca="false">B23+1</f>
        <v>46261</v>
      </c>
      <c r="C24" s="9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9"/>
    </row>
    <row r="25" customFormat="false" ht="15" hidden="false" customHeight="false" outlineLevel="0" collapsed="false">
      <c r="A25" s="7" t="n">
        <v>24</v>
      </c>
      <c r="B25" s="12" t="n">
        <f aca="false">B24+1</f>
        <v>46262</v>
      </c>
      <c r="C25" s="9"/>
      <c r="D25" s="9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9"/>
    </row>
    <row r="26" customFormat="false" ht="15" hidden="false" customHeight="false" outlineLevel="0" collapsed="false">
      <c r="A26" s="7" t="n">
        <v>25</v>
      </c>
      <c r="B26" s="12" t="n">
        <f aca="false">B25+1</f>
        <v>46263</v>
      </c>
      <c r="C26" s="9"/>
      <c r="D26" s="9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9"/>
    </row>
    <row r="27" customFormat="false" ht="15" hidden="false" customHeight="false" outlineLevel="0" collapsed="false">
      <c r="A27" s="7" t="n">
        <v>26</v>
      </c>
      <c r="B27" s="12" t="n">
        <f aca="false">B26+1</f>
        <v>46264</v>
      </c>
      <c r="C27" s="9"/>
      <c r="D27" s="9"/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9"/>
    </row>
    <row r="28" customFormat="false" ht="15" hidden="false" customHeight="false" outlineLevel="0" collapsed="false">
      <c r="A28" s="7" t="n">
        <v>27</v>
      </c>
      <c r="B28" s="12" t="n">
        <f aca="false">B27+1</f>
        <v>46265</v>
      </c>
      <c r="C28" s="9"/>
      <c r="D28" s="9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9"/>
    </row>
    <row r="29" customFormat="false" ht="15" hidden="false" customHeight="false" outlineLevel="0" collapsed="false">
      <c r="A29" s="7" t="n">
        <v>28</v>
      </c>
      <c r="B29" s="12" t="n">
        <f aca="false">B28+1</f>
        <v>46266</v>
      </c>
      <c r="C29" s="9"/>
      <c r="D29" s="9"/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9"/>
    </row>
    <row r="30" customFormat="false" ht="15" hidden="false" customHeight="false" outlineLevel="0" collapsed="false">
      <c r="A30" s="7" t="n">
        <v>29</v>
      </c>
      <c r="B30" s="12" t="n">
        <f aca="false">B29+1</f>
        <v>46267</v>
      </c>
      <c r="C30" s="9"/>
      <c r="D30" s="9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9"/>
    </row>
    <row r="31" customFormat="false" ht="15" hidden="false" customHeight="false" outlineLevel="0" collapsed="false">
      <c r="A31" s="7" t="n">
        <v>30</v>
      </c>
      <c r="B31" s="12" t="n">
        <f aca="false">B30+1</f>
        <v>46268</v>
      </c>
      <c r="C31" s="9"/>
      <c r="D31" s="9"/>
      <c r="E31" s="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1"/>
    <col collapsed="false" customWidth="true" hidden="false" outlineLevel="0" max="7" min="7" style="0" width="20"/>
  </cols>
  <sheetData>
    <row r="1" customFormat="false" ht="24" hidden="false" customHeight="true" outlineLevel="0" collapsed="false">
      <c r="A1" s="5" t="s">
        <v>85</v>
      </c>
      <c r="B1" s="5" t="s">
        <v>63</v>
      </c>
      <c r="C1" s="5" t="s">
        <v>86</v>
      </c>
      <c r="D1" s="5" t="s">
        <v>25</v>
      </c>
      <c r="E1" s="5" t="s">
        <v>87</v>
      </c>
      <c r="F1" s="5" t="s">
        <v>27</v>
      </c>
      <c r="G1" s="5" t="s">
        <v>88</v>
      </c>
    </row>
    <row r="2" customFormat="false" ht="15" hidden="false" customHeight="false" outlineLevel="0" collapsed="false">
      <c r="A2" s="4" t="s">
        <v>78</v>
      </c>
      <c r="B2" s="4" t="s">
        <v>89</v>
      </c>
      <c r="C2" s="6" t="str">
        <f aca="false">IFERROR(AVERAGEIF('Daily Log'!$C$2:$C$31,$A2,'Daily Log'!$F$2:$F$31),"")</f>
        <v/>
      </c>
      <c r="D2" s="6" t="str">
        <f aca="false">IFERROR(AVERAGEIF('Daily Log'!$C$2:$C$31,$A2,'Daily Log'!$G$2:$G$31),"")</f>
        <v/>
      </c>
      <c r="E2" s="6" t="str">
        <f aca="false">IFERROR(AVERAGEIF('Daily Log'!$C$2:$C$31,$A2,'Daily Log'!$J$2:$J$31),"")</f>
        <v/>
      </c>
      <c r="F2" s="6" t="n">
        <f aca="false">SUMIF('Daily Log'!$C$2:$C$31,$A2,'Daily Log'!$L$2:$L$31)</f>
        <v>0</v>
      </c>
      <c r="G2" s="6" t="str">
        <f aca="false">IF(SUM($F$2:$F$4)=0,"",IF(F2=MAX($F$2:$F$4),"Winner (most DMs)",""))</f>
        <v/>
      </c>
    </row>
    <row r="3" customFormat="false" ht="15" hidden="false" customHeight="false" outlineLevel="0" collapsed="false">
      <c r="A3" s="4" t="s">
        <v>81</v>
      </c>
      <c r="B3" s="4" t="s">
        <v>90</v>
      </c>
      <c r="C3" s="6" t="str">
        <f aca="false">IFERROR(AVERAGEIF('Daily Log'!$C$2:$C$31,$A3,'Daily Log'!$F$2:$F$31),"")</f>
        <v/>
      </c>
      <c r="D3" s="6" t="str">
        <f aca="false">IFERROR(AVERAGEIF('Daily Log'!$C$2:$C$31,$A3,'Daily Log'!$G$2:$G$31),"")</f>
        <v/>
      </c>
      <c r="E3" s="6" t="str">
        <f aca="false">IFERROR(AVERAGEIF('Daily Log'!$C$2:$C$31,$A3,'Daily Log'!$J$2:$J$31),"")</f>
        <v/>
      </c>
      <c r="F3" s="6" t="n">
        <f aca="false">SUMIF('Daily Log'!$C$2:$C$31,$A3,'Daily Log'!$L$2:$L$31)</f>
        <v>0</v>
      </c>
      <c r="G3" s="6" t="str">
        <f aca="false">IF(SUM($F$2:$F$4)=0,"",IF(F3=MAX($F$2:$F$4),"Winner (most DMs)",""))</f>
        <v/>
      </c>
    </row>
    <row r="4" customFormat="false" ht="15" hidden="false" customHeight="false" outlineLevel="0" collapsed="false">
      <c r="A4" s="4" t="s">
        <v>83</v>
      </c>
      <c r="B4" s="4" t="s">
        <v>91</v>
      </c>
      <c r="C4" s="6" t="str">
        <f aca="false">IFERROR(AVERAGEIF('Daily Log'!$C$2:$C$31,$A4,'Daily Log'!$F$2:$F$31),"")</f>
        <v/>
      </c>
      <c r="D4" s="6" t="str">
        <f aca="false">IFERROR(AVERAGEIF('Daily Log'!$C$2:$C$31,$A4,'Daily Log'!$G$2:$G$31),"")</f>
        <v/>
      </c>
      <c r="E4" s="6" t="str">
        <f aca="false">IFERROR(AVERAGEIF('Daily Log'!$C$2:$C$31,$A4,'Daily Log'!$J$2:$J$31),"")</f>
        <v/>
      </c>
      <c r="F4" s="6" t="n">
        <f aca="false">SUMIF('Daily Log'!$C$2:$C$31,$A4,'Daily Log'!$L$2:$L$31)</f>
        <v>0</v>
      </c>
      <c r="G4" s="6" t="str">
        <f aca="false">IF(SUM($F$2:$F$4)=0,"",IF(F4=MAX($F$2:$F$4),"Winner (most DMs)",""))</f>
        <v/>
      </c>
    </row>
    <row r="6" customFormat="false" ht="30" hidden="false" customHeight="true" outlineLevel="0" collapsed="false">
      <c r="A6" s="14" t="s">
        <v>92</v>
      </c>
      <c r="B6" s="14"/>
      <c r="C6" s="14"/>
      <c r="D6" s="14"/>
      <c r="E6" s="14"/>
      <c r="F6" s="14"/>
      <c r="G6" s="14"/>
    </row>
  </sheetData>
  <mergeCells count="1">
    <mergeCell ref="A6: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6"/>
  </cols>
  <sheetData>
    <row r="1" customFormat="false" ht="17.35" hidden="false" customHeight="false" outlineLevel="0" collapsed="false">
      <c r="A1" s="1" t="s">
        <v>93</v>
      </c>
    </row>
    <row r="2" customFormat="false" ht="25.5" hidden="false" customHeight="true" outlineLevel="0" collapsed="false">
      <c r="A2" s="14" t="s">
        <v>94</v>
      </c>
      <c r="B2" s="14"/>
    </row>
    <row r="4" customFormat="false" ht="21.75" hidden="false" customHeight="true" outlineLevel="0" collapsed="false">
      <c r="A4" s="15" t="s">
        <v>95</v>
      </c>
      <c r="B4" s="13" t="n">
        <f aca="false">SUM('Daily Log'!F2:F8)</f>
        <v>0</v>
      </c>
    </row>
    <row r="5" customFormat="false" ht="21.75" hidden="false" customHeight="true" outlineLevel="0" collapsed="false">
      <c r="A5" s="15" t="s">
        <v>96</v>
      </c>
      <c r="B5" s="13" t="n">
        <f aca="false">SUM('Daily Log'!I2:I8)+SUM('Daily Log'!J2:J8)+SUM('Daily Log'!K2:K8)+SUM('Daily Log'!M2:M8)</f>
        <v>0</v>
      </c>
    </row>
    <row r="6" customFormat="false" ht="21.75" hidden="false" customHeight="true" outlineLevel="0" collapsed="false">
      <c r="A6" s="15" t="s">
        <v>97</v>
      </c>
      <c r="B6" s="16" t="str">
        <f aca="false">IFERROR(B5/B4*100,"")</f>
        <v/>
      </c>
    </row>
    <row r="7" customFormat="false" ht="21.75" hidden="false" customHeight="true" outlineLevel="0" collapsed="false">
      <c r="A7" s="15" t="s">
        <v>98</v>
      </c>
      <c r="B7" s="13" t="n">
        <f aca="false">SUM('Daily Log'!L2:L8)</f>
        <v>0</v>
      </c>
    </row>
    <row r="8" customFormat="false" ht="21.75" hidden="false" customHeight="true" outlineLevel="0" collapsed="false">
      <c r="A8" s="15" t="s">
        <v>99</v>
      </c>
      <c r="B8" s="9"/>
    </row>
    <row r="9" customFormat="false" ht="21.75" hidden="false" customHeight="true" outlineLevel="0" collapsed="false">
      <c r="A9" s="15" t="s">
        <v>100</v>
      </c>
      <c r="B9" s="13" t="str">
        <f aca="false">IFERROR(AVERAGE('Daily Log'!G2:G8),"")</f>
        <v/>
      </c>
    </row>
    <row r="10" customFormat="false" ht="21.75" hidden="false" customHeight="true" outlineLevel="0" collapsed="false">
      <c r="A10" s="15" t="s">
        <v>101</v>
      </c>
      <c r="B10" s="13" t="str">
        <f aca="false">IFERROR(INDEX('Format Comparison'!B2:B4,MATCH("Winner (most DMs)",'Format Comparison'!G2:G4,0)),"TBD -- need more data")</f>
        <v>TBD -- need more data</v>
      </c>
    </row>
    <row r="11" customFormat="false" ht="21.75" hidden="false" customHeight="true" outlineLevel="0" collapsed="false">
      <c r="A11" s="15" t="s">
        <v>102</v>
      </c>
      <c r="B11" s="13" t="str">
        <f aca="false">IF(SUM('Hook Bank'!H2:H16)=0,"TBD -- need more data",INDEX('Hook Bank'!A2:A16,MATCH(MAX('Hook Bank'!H2:H16),'Hook Bank'!H2:H16,0)))</f>
        <v>TBD -- need more data</v>
      </c>
    </row>
    <row r="12" customFormat="false" ht="21.75" hidden="false" customHeight="true" outlineLevel="0" collapsed="false">
      <c r="A12" s="15" t="s">
        <v>103</v>
      </c>
      <c r="B12" s="13" t="str">
        <f aca="false">IF(SUM('Hook Bank'!H2:H16)=0,"TBD",INDEX('Hook Bank'!C2:C16,MATCH(MAX('Hook Bank'!H2:H16),'Hook Bank'!H2:H16,0)))</f>
        <v>TBD</v>
      </c>
    </row>
    <row r="13" customFormat="false" ht="21.75" hidden="false" customHeight="true" outlineLevel="0" collapsed="false">
      <c r="A13" s="15" t="s">
        <v>104</v>
      </c>
      <c r="B13" s="13" t="str">
        <f aca="false">IFERROR(('Daily Log'!F8-'Daily Log'!F2)/'Daily Log'!F2*100,"")</f>
        <v/>
      </c>
    </row>
    <row r="15" customFormat="false" ht="15" hidden="false" customHeight="false" outlineLevel="0" collapsed="false">
      <c r="A15" s="2" t="s">
        <v>105</v>
      </c>
    </row>
    <row r="16" customFormat="false" ht="49.5" hidden="false" customHeight="true" outlineLevel="0" collapsed="false">
      <c r="A16" s="17" t="str">
        <f aca="false">"Here's what I built in 7 days solo. Hooks are performing at "&amp;IF(B9="","[pending]",TEXT(B9,"0.0")&amp;"%")&amp;" watch time. Format "&amp;B10&amp;" is our DM driver. We're getting inbound -- "&amp;B7&amp;" DMs so far. Let's make this official and scale it."</f>
        <v>Here's what I built in 7 days solo. Hooks are performing at [pending] watch time. Format TBD -- need more data is our DM driver. We're getting inbound -- 0 DMs so far. Let's make this official and scale it.</v>
      </c>
      <c r="B16" s="17"/>
    </row>
  </sheetData>
  <mergeCells count="2">
    <mergeCell ref="A2:B2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2026-08-05T17:25:37Z</dcterms:created>
  <dc:creator>openpyxl</dc:creator>
  <dc:description/>
  <dc:language>en-US</dc:language>
  <cp:lastModifiedBy/>
  <dcterms:modified xsi:type="dcterms:W3CDTF">2026-08-05T17:25:37Z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